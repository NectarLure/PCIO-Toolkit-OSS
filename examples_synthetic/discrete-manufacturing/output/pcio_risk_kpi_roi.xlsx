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isk_Register" sheetId="2" state="visible" r:id="rId2"/>
    <sheet name="Risk_Matrix_4x4" sheetId="3" state="visible" r:id="rId3"/>
    <sheet name="KPI_Recommendations" sheetId="4" state="visible" r:id="rId4"/>
    <sheet name="ROI_Calculator" sheetId="5" state="visible" r:id="rId5"/>
  </sheets>
  <definedNames>
    <definedName name="_xlnm._FilterDatabase" localSheetId="1" hidden="1">'Risk_Register'!$A$1:$O$11</definedName>
    <definedName name="_xlnm._FilterDatabase" localSheetId="2" hidden="1">'Risk_Matrix_4x4'!$A$1:$E$5</definedName>
    <definedName name="_xlnm._FilterDatabase" localSheetId="3" hidden="1">'KPI_Recommendations'!$A$1:$R$9</definedName>
    <definedName name="_xlnm._FilterDatabase" localSheetId="4" hidden="1">'ROI_Calculator'!$A$1:$F$18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6324F"/>
    </font>
    <font>
      <b val="1"/>
      <color rgb="000F766E"/>
      <sz val="15"/>
    </font>
    <font>
      <b val="1"/>
      <color rgb="00FFFFFF"/>
    </font>
    <font>
      <i val="1"/>
      <color rgb="00666666"/>
    </font>
    <font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E06666"/>
      </patternFill>
    </fill>
    <fill>
      <patternFill patternType="solid">
        <fgColor rgb="00C6E0B4"/>
      </patternFill>
    </fill>
    <fill>
      <patternFill patternType="solid">
        <fgColor rgb="000F766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top" wrapText="1"/>
    </xf>
    <xf numFmtId="164" fontId="0" fillId="9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Selected risks by category / 分类风险数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cat>
            <numRef>
              <f>'Dashboard'!$A$18:$A$21</f>
            </numRef>
          </cat>
          <val>
            <numRef>
              <f>'Dashboard'!$B$18:$B$21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  <col width="37" customWidth="1" min="4" max="4"/>
    <col width="26" customWidth="1" min="5" max="5"/>
    <col width="11" customWidth="1" min="6" max="6"/>
    <col width="22" customWidth="1" min="7" max="7"/>
    <col width="11" customWidth="1" min="8" max="8"/>
  </cols>
  <sheetData>
    <row r="1">
      <c r="A1" s="1" t="inlineStr">
        <is>
          <t>PCIO Risk, KPI &amp; ROI Dashboard / 风险、KPI与ROI总览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Selected risks / 已筛选风险</t>
        </is>
      </c>
      <c r="B4" s="2" t="n"/>
      <c r="C4" s="3" t="inlineStr">
        <is>
          <t>High &amp; critical / 高及极高</t>
        </is>
      </c>
      <c r="D4" s="2" t="n"/>
      <c r="E4" s="3" t="inlineStr">
        <is>
          <t>Recommended KPIs / KPI建议</t>
        </is>
      </c>
      <c r="F4" s="2" t="n"/>
      <c r="G4" s="3" t="inlineStr">
        <is>
          <t>Payback months / 回收期</t>
        </is>
      </c>
      <c r="H4" s="2" t="n"/>
    </row>
    <row r="5">
      <c r="A5" s="4" t="n">
        <v>10</v>
      </c>
      <c r="B5" s="2" t="n"/>
      <c r="C5" s="4" t="n">
        <v>9</v>
      </c>
      <c r="D5" s="2" t="n"/>
      <c r="E5" s="4" t="n">
        <v>8</v>
      </c>
      <c r="F5" s="2" t="n"/>
      <c r="G5" s="4" t="inlineStr">
        <is>
          <t xml:space="preserve">18.0-48.0 </t>
        </is>
      </c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5" t="inlineStr">
        <is>
          <t>Likelihood / 概率</t>
        </is>
      </c>
      <c r="B8" s="5" t="inlineStr">
        <is>
          <t>Impact 1 / 影响1</t>
        </is>
      </c>
      <c r="C8" s="5" t="inlineStr">
        <is>
          <t>Impact 2 / 影响2</t>
        </is>
      </c>
      <c r="D8" s="5" t="inlineStr">
        <is>
          <t>Impact 3 / 影响3</t>
        </is>
      </c>
      <c r="E8" s="5" t="inlineStr">
        <is>
          <t>Impact 4 / 影响4</t>
        </is>
      </c>
      <c r="F8" s="2" t="n"/>
      <c r="G8" s="2" t="n"/>
      <c r="H8" s="2" t="n"/>
    </row>
    <row r="9" ht="50" customHeight="1">
      <c r="A9" s="2" t="inlineStr">
        <is>
          <t>4</t>
        </is>
      </c>
      <c r="B9" s="6" t="inlineStr">
        <is>
          <t>-</t>
        </is>
      </c>
      <c r="C9" s="7" t="inlineStr">
        <is>
          <t>-</t>
        </is>
      </c>
      <c r="D9" s="8" t="inlineStr">
        <is>
          <t>O03
T03
E01
H01
O01
O02
H03
T01
T02</t>
        </is>
      </c>
      <c r="E9" s="8" t="inlineStr">
        <is>
          <t>-</t>
        </is>
      </c>
      <c r="F9" s="2" t="n"/>
      <c r="G9" s="2" t="n"/>
      <c r="H9" s="2" t="n"/>
    </row>
    <row r="10" ht="50" customHeight="1">
      <c r="A10" s="2" t="inlineStr">
        <is>
          <t>3</t>
        </is>
      </c>
      <c r="B10" s="9" t="inlineStr">
        <is>
          <t>-</t>
        </is>
      </c>
      <c r="C10" s="6" t="inlineStr">
        <is>
          <t>E02</t>
        </is>
      </c>
      <c r="D10" s="7" t="inlineStr">
        <is>
          <t>-</t>
        </is>
      </c>
      <c r="E10" s="8" t="inlineStr">
        <is>
          <t>-</t>
        </is>
      </c>
      <c r="F10" s="2" t="n"/>
      <c r="G10" s="2" t="n"/>
      <c r="H10" s="2" t="n"/>
    </row>
    <row r="11" ht="50" customHeight="1">
      <c r="A11" s="2" t="inlineStr">
        <is>
          <t>2</t>
        </is>
      </c>
      <c r="B11" s="9" t="inlineStr">
        <is>
          <t>-</t>
        </is>
      </c>
      <c r="C11" s="6" t="inlineStr">
        <is>
          <t>-</t>
        </is>
      </c>
      <c r="D11" s="6" t="inlineStr">
        <is>
          <t>-</t>
        </is>
      </c>
      <c r="E11" s="7" t="inlineStr">
        <is>
          <t>-</t>
        </is>
      </c>
      <c r="F11" s="2" t="n"/>
      <c r="G11" s="2" t="n"/>
      <c r="H11" s="2" t="n"/>
    </row>
    <row r="12" ht="50" customHeight="1">
      <c r="A12" s="2" t="inlineStr">
        <is>
          <t>1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6" t="inlineStr">
        <is>
          <t>-</t>
        </is>
      </c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10" t="inlineStr">
        <is>
          <t>4×4 score = likelihood × impact. IDs map to Risk_Register.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Risk category / 风险类别</t>
        </is>
      </c>
      <c r="B17" s="2" t="inlineStr">
        <is>
          <t>Count / 数量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Technical / 技术</t>
        </is>
      </c>
      <c r="B18" s="2" t="n">
        <v>3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Organisational / 组织</t>
        </is>
      </c>
      <c r="B19" s="2" t="n">
        <v>3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Workforce / 人力</t>
        </is>
      </c>
      <c r="B20" s="2" t="n">
        <v>2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External / 外部</t>
        </is>
      </c>
      <c r="B21" s="2" t="n">
        <v>2</v>
      </c>
      <c r="C21" s="2" t="n"/>
      <c r="D21" s="2" t="n"/>
      <c r="E21" s="2" t="n"/>
      <c r="F21" s="2" t="n"/>
      <c r="G21" s="2" t="n"/>
      <c r="H21" s="2" t="n"/>
    </row>
  </sheetData>
  <mergeCells count="10">
    <mergeCell ref="A4:B4"/>
    <mergeCell ref="G4:H4"/>
    <mergeCell ref="E4:F4"/>
    <mergeCell ref="C5:D5"/>
    <mergeCell ref="A5:B5"/>
    <mergeCell ref="G5:H5"/>
    <mergeCell ref="E5:F5"/>
    <mergeCell ref="A14:E14"/>
    <mergeCell ref="A1:H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42" customWidth="1" min="5" max="5"/>
    <col width="13" customWidth="1" min="6" max="6"/>
    <col width="12" customWidth="1" min="7" max="7"/>
    <col width="11" customWidth="1" min="8" max="8"/>
    <col width="11" customWidth="1" min="9" max="9"/>
    <col width="15" customWidth="1" min="10" max="10"/>
    <col width="12" customWidth="1" min="11" max="11"/>
    <col width="39" customWidth="1" min="12" max="12"/>
    <col width="42" customWidth="1" min="13" max="13"/>
    <col width="42" customWidth="1" min="14" max="14"/>
    <col width="13" customWidth="1" min="15" max="15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Risk ZH</t>
        </is>
      </c>
      <c r="E1" s="1" t="inlineStr">
        <is>
          <t>Risk EN</t>
        </is>
      </c>
      <c r="F1" s="1" t="inlineStr">
        <is>
          <t>PCIO layers</t>
        </is>
      </c>
      <c r="G1" s="1" t="inlineStr">
        <is>
          <t>Likelihood</t>
        </is>
      </c>
      <c r="H1" s="1" t="inlineStr">
        <is>
          <t>Impact</t>
        </is>
      </c>
      <c r="I1" s="1" t="inlineStr">
        <is>
          <t>Score</t>
        </is>
      </c>
      <c r="J1" s="1" t="inlineStr">
        <is>
          <t>Band</t>
        </is>
      </c>
      <c r="K1" s="1" t="inlineStr">
        <is>
          <t>PDCA</t>
        </is>
      </c>
      <c r="L1" s="1" t="inlineStr">
        <is>
          <t>Mitigation ZH</t>
        </is>
      </c>
      <c r="M1" s="1" t="inlineStr">
        <is>
          <t>Mitigation EN</t>
        </is>
      </c>
      <c r="N1" s="1" t="inlineStr">
        <is>
          <t>Profile drivers</t>
        </is>
      </c>
      <c r="O1" s="1" t="inlineStr">
        <is>
          <t>Highlighted</t>
        </is>
      </c>
    </row>
    <row r="2">
      <c r="A2" s="11" t="n">
        <v>1</v>
      </c>
      <c r="B2" s="11" t="inlineStr">
        <is>
          <t>O03</t>
        </is>
      </c>
      <c r="C2" s="11" t="inlineStr">
        <is>
          <t>Organisational / 组织</t>
        </is>
      </c>
      <c r="D2" s="11" t="inlineStr">
        <is>
          <t>跨班组或跨部门流程未同步调整</t>
        </is>
      </c>
      <c r="E2" s="11" t="inlineStr">
        <is>
          <t>Cross-shift or cross-department process not changed with the tool</t>
        </is>
      </c>
      <c r="F2" s="11" t="inlineStr">
        <is>
          <t>H,I</t>
        </is>
      </c>
      <c r="G2" s="11" t="n">
        <v>4</v>
      </c>
      <c r="H2" s="11" t="n">
        <v>3</v>
      </c>
      <c r="I2" s="11" t="n">
        <v>12</v>
      </c>
      <c r="J2" s="11" t="inlineStr">
        <is>
          <t>Critical / 极高</t>
        </is>
      </c>
      <c r="K2" s="11" t="inlineStr">
        <is>
          <t>Do/Act</t>
        </is>
      </c>
      <c r="L2" s="11" t="inlineStr">
        <is>
          <t>同步修订交接班、纸质记录、异常会议和标准作业，避免数字化与旧流程并行重复。</t>
        </is>
      </c>
      <c r="M2" s="11" t="inlineStr">
        <is>
          <t>Update handover, paper records, exception meetings, and standard work to avoid duplicate old and digital processes.</t>
        </is>
      </c>
      <c r="N2" s="11" t="inlineStr">
        <is>
          <t>collaboration,manual_records,schedule_changeover</t>
        </is>
      </c>
      <c r="O2" s="11" t="b">
        <v>1</v>
      </c>
    </row>
    <row r="3">
      <c r="A3" s="11" t="n">
        <v>2</v>
      </c>
      <c r="B3" s="11" t="inlineStr">
        <is>
          <t>T03</t>
        </is>
      </c>
      <c r="C3" s="11" t="inlineStr">
        <is>
          <t>Technical / 技术</t>
        </is>
      </c>
      <c r="D3" s="11" t="inlineStr">
        <is>
          <t>设备、批次、工单和异常语义不一致</t>
        </is>
      </c>
      <c r="E3" s="11" t="inlineStr">
        <is>
          <t>Inconsistent asset, batch, work-order, and exception semantics</t>
        </is>
      </c>
      <c r="F3" s="11" t="inlineStr">
        <is>
          <t>I</t>
        </is>
      </c>
      <c r="G3" s="11" t="n">
        <v>4</v>
      </c>
      <c r="H3" s="11" t="n">
        <v>3</v>
      </c>
      <c r="I3" s="11" t="n">
        <v>12</v>
      </c>
      <c r="J3" s="11" t="inlineStr">
        <is>
          <t>Critical / 极高</t>
        </is>
      </c>
      <c r="K3" s="11" t="inlineStr">
        <is>
          <t>Plan/Check</t>
        </is>
      </c>
      <c r="L3" s="11" t="inlineStr">
        <is>
          <t>建立轻量数据字典、唯一编码和 KPI 公式；每次接口变更执行对账。</t>
        </is>
      </c>
      <c r="M3" s="11" t="inlineStr">
        <is>
          <t>Create a lightweight data dictionary, unique identifiers, and KPI formulas; reconcile every interface change.</t>
        </is>
      </c>
      <c r="N3" s="11" t="inlineStr">
        <is>
          <t>collaboration,manual_records</t>
        </is>
      </c>
      <c r="O3" s="11" t="b">
        <v>1</v>
      </c>
    </row>
    <row r="4">
      <c r="A4" s="11" t="n">
        <v>3</v>
      </c>
      <c r="B4" s="11" t="inlineStr">
        <is>
          <t>E01</t>
        </is>
      </c>
      <c r="C4" s="11" t="inlineStr">
        <is>
          <t>External / 外部</t>
        </is>
      </c>
      <c r="D4" s="11" t="inlineStr">
        <is>
          <t>供应商锁定、封闭协议或数据不可迁移</t>
        </is>
      </c>
      <c r="E4" s="11" t="inlineStr">
        <is>
          <t>Vendor lock-in, closed protocols, or non-portable data</t>
        </is>
      </c>
      <c r="F4" s="11" t="inlineStr">
        <is>
          <t>C,I</t>
        </is>
      </c>
      <c r="G4" s="11" t="n">
        <v>4</v>
      </c>
      <c r="H4" s="11" t="n">
        <v>3</v>
      </c>
      <c r="I4" s="11" t="n">
        <v>12</v>
      </c>
      <c r="J4" s="11" t="inlineStr">
        <is>
          <t>Critical / 极高</t>
        </is>
      </c>
      <c r="K4" s="11" t="inlineStr">
        <is>
          <t>Plan</t>
        </is>
      </c>
      <c r="L4" s="11" t="inlineStr">
        <is>
          <t>优先开放协议、可导出数据和接口验收条款；保留替代供应商清单。</t>
        </is>
      </c>
      <c r="M4" s="11" t="inlineStr">
        <is>
          <t>Prefer open protocols, exportable data, and interface acceptance clauses; retain alternative suppliers.</t>
        </is>
      </c>
      <c r="N4" s="11" t="inlineStr">
        <is>
          <t>manual_records</t>
        </is>
      </c>
      <c r="O4" s="11" t="b">
        <v>1</v>
      </c>
    </row>
    <row r="5">
      <c r="A5" s="11" t="n">
        <v>4</v>
      </c>
      <c r="B5" s="11" t="inlineStr">
        <is>
          <t>H01</t>
        </is>
      </c>
      <c r="C5" s="11" t="inlineStr">
        <is>
          <t>Workforce / 人力</t>
        </is>
      </c>
      <c r="D5" s="11" t="inlineStr">
        <is>
          <t>一线人员培训、使用能力或参与度不足</t>
        </is>
      </c>
      <c r="E5" s="11" t="inlineStr">
        <is>
          <t>Insufficient frontline training, capability, or participation</t>
        </is>
      </c>
      <c r="F5" s="11" t="inlineStr">
        <is>
          <t>H</t>
        </is>
      </c>
      <c r="G5" s="11" t="n">
        <v>4</v>
      </c>
      <c r="H5" s="11" t="n">
        <v>3</v>
      </c>
      <c r="I5" s="11" t="n">
        <v>12</v>
      </c>
      <c r="J5" s="11" t="inlineStr">
        <is>
          <t>Critical / 极高</t>
        </is>
      </c>
      <c r="K5" s="11" t="inlineStr">
        <is>
          <t>Do/Check</t>
        </is>
      </c>
      <c r="L5" s="11" t="inlineStr">
        <is>
          <t>采用岗位化微培训、现场辅导和超级用户机制，培训后用真实任务验证。</t>
        </is>
      </c>
      <c r="M5" s="11" t="inlineStr">
        <is>
          <t>Use role-based micro-training, floor coaching, and super-users; verify learning with real tasks.</t>
        </is>
      </c>
      <c r="N5" s="11" t="inlineStr">
        <is>
          <t>collaboration,manual_records</t>
        </is>
      </c>
      <c r="O5" s="11" t="b">
        <v>1</v>
      </c>
    </row>
    <row r="6">
      <c r="A6" s="11" t="n">
        <v>5</v>
      </c>
      <c r="B6" s="11" t="inlineStr">
        <is>
          <t>O01</t>
        </is>
      </c>
      <c r="C6" s="11" t="inlineStr">
        <is>
          <t>Organisational / 组织</t>
        </is>
      </c>
      <c r="D6" s="11" t="inlineStr">
        <is>
          <t>试点边界、责任人和异常关闭权责不清</t>
        </is>
      </c>
      <c r="E6" s="11" t="inlineStr">
        <is>
          <t>Unclear pilot boundary, ownership, and exception closure authority</t>
        </is>
      </c>
      <c r="F6" s="11" t="inlineStr">
        <is>
          <t>I,H</t>
        </is>
      </c>
      <c r="G6" s="11" t="n">
        <v>4</v>
      </c>
      <c r="H6" s="11" t="n">
        <v>3</v>
      </c>
      <c r="I6" s="11" t="n">
        <v>12</v>
      </c>
      <c r="J6" s="11" t="inlineStr">
        <is>
          <t>Critical / 极高</t>
        </is>
      </c>
      <c r="K6" s="11" t="inlineStr">
        <is>
          <t>Plan</t>
        </is>
      </c>
      <c r="L6" s="11" t="inlineStr">
        <is>
          <t>定义单一试点边界、RACI、异常升级路径和联合签字门槛。</t>
        </is>
      </c>
      <c r="M6" s="11" t="inlineStr">
        <is>
          <t>Define one pilot boundary, RACI, escalation path, and joint approval gates.</t>
        </is>
      </c>
      <c r="N6" s="11" t="inlineStr">
        <is>
          <t>collaboration</t>
        </is>
      </c>
      <c r="O6" s="11" t="b">
        <v>0</v>
      </c>
    </row>
    <row r="7">
      <c r="A7" s="11" t="n">
        <v>6</v>
      </c>
      <c r="B7" s="11" t="inlineStr">
        <is>
          <t>O02</t>
        </is>
      </c>
      <c r="C7" s="11" t="inlineStr">
        <is>
          <t>Organisational / 组织</t>
        </is>
      </c>
      <c r="D7" s="11" t="inlineStr">
        <is>
          <t>KPI 口径或收益基线不可复算</t>
        </is>
      </c>
      <c r="E7" s="11" t="inlineStr">
        <is>
          <t>Non-reproducible KPI definitions or benefit baseline</t>
        </is>
      </c>
      <c r="F7" s="11" t="inlineStr">
        <is>
          <t>I,O</t>
        </is>
      </c>
      <c r="G7" s="11" t="n">
        <v>4</v>
      </c>
      <c r="H7" s="11" t="n">
        <v>3</v>
      </c>
      <c r="I7" s="11" t="n">
        <v>12</v>
      </c>
      <c r="J7" s="11" t="inlineStr">
        <is>
          <t>Critical / 极高</t>
        </is>
      </c>
      <c r="K7" s="11" t="inlineStr">
        <is>
          <t>Plan/Check</t>
        </is>
      </c>
      <c r="L7" s="11" t="inlineStr">
        <is>
          <t>冻结基线时间窗、产品组合、分母、异常剔除和财务确认规则。</t>
        </is>
      </c>
      <c r="M7" s="11" t="inlineStr">
        <is>
          <t>Freeze the baseline window, product mix, denominator, exclusions, and finance sign-off rules.</t>
        </is>
      </c>
      <c r="N7" s="11" t="inlineStr">
        <is>
          <t>quality_defects</t>
        </is>
      </c>
      <c r="O7" s="11" t="b">
        <v>0</v>
      </c>
    </row>
    <row r="8">
      <c r="A8" s="11" t="n">
        <v>7</v>
      </c>
      <c r="B8" s="11" t="inlineStr">
        <is>
          <t>H03</t>
        </is>
      </c>
      <c r="C8" s="11" t="inlineStr">
        <is>
          <t>Workforce / 人力</t>
        </is>
      </c>
      <c r="D8" s="11" t="inlineStr">
        <is>
          <t>自动建议的授权、确认和安全责任边界不清</t>
        </is>
      </c>
      <c r="E8" s="11" t="inlineStr">
        <is>
          <t>Unclear authority, confirmation, and safety accountability for automated recommendations</t>
        </is>
      </c>
      <c r="F8" s="11" t="inlineStr">
        <is>
          <t>O,H</t>
        </is>
      </c>
      <c r="G8" s="11" t="n">
        <v>4</v>
      </c>
      <c r="H8" s="11" t="n">
        <v>3</v>
      </c>
      <c r="I8" s="11" t="n">
        <v>12</v>
      </c>
      <c r="J8" s="11" t="inlineStr">
        <is>
          <t>Critical / 极高</t>
        </is>
      </c>
      <c r="K8" s="11" t="inlineStr">
        <is>
          <t>Plan/Act</t>
        </is>
      </c>
      <c r="L8" s="11" t="inlineStr">
        <is>
          <t>明确建议、批准、执行、回退和审计责任；安全相关动作必须由合格人员确认。</t>
        </is>
      </c>
      <c r="M8" s="11" t="inlineStr">
        <is>
          <t>Define recommendation, approval, execution, rollback, and audit ownership; qualified personnel confirm safety actions.</t>
        </is>
      </c>
      <c r="N8" s="11" t="inlineStr">
        <is>
          <t>quality_defects</t>
        </is>
      </c>
      <c r="O8" s="11" t="b">
        <v>0</v>
      </c>
    </row>
    <row r="9">
      <c r="A9" s="11" t="n">
        <v>8</v>
      </c>
      <c r="B9" s="11" t="inlineStr">
        <is>
          <t>T01</t>
        </is>
      </c>
      <c r="C9" s="11" t="inlineStr">
        <is>
          <t>Technical / 技术</t>
        </is>
      </c>
      <c r="D9" s="11" t="inlineStr">
        <is>
          <t>关键测点覆盖、校准或数据完整性不足</t>
        </is>
      </c>
      <c r="E9" s="11" t="inlineStr">
        <is>
          <t>Insufficient critical-tag coverage, calibration, or completeness</t>
        </is>
      </c>
      <c r="F9" s="11" t="inlineStr">
        <is>
          <t>P</t>
        </is>
      </c>
      <c r="G9" s="11" t="n">
        <v>4</v>
      </c>
      <c r="H9" s="11" t="n">
        <v>3</v>
      </c>
      <c r="I9" s="11" t="n">
        <v>12</v>
      </c>
      <c r="J9" s="11" t="inlineStr">
        <is>
          <t>Critical / 极高</t>
        </is>
      </c>
      <c r="K9" s="11" t="inlineStr">
        <is>
          <t>Plan/Do</t>
        </is>
      </c>
      <c r="L9" s="11" t="inlineStr">
        <is>
          <t>冻结关键测点清单，记录量程、单位、校准、缺失和责任人；先补瓶颈设备。</t>
        </is>
      </c>
      <c r="M9" s="11" t="inlineStr">
        <is>
          <t>Freeze the critical-tag list and record range, unit, calibration, missingness, and ownership; start with bottleneck assets.</t>
        </is>
      </c>
      <c r="N9" s="11" t="inlineStr">
        <is>
          <t>quality_defects</t>
        </is>
      </c>
      <c r="O9" s="11" t="b">
        <v>0</v>
      </c>
    </row>
    <row r="10">
      <c r="A10" s="11" t="n">
        <v>9</v>
      </c>
      <c r="B10" s="11" t="inlineStr">
        <is>
          <t>T02</t>
        </is>
      </c>
      <c r="C10" s="11" t="inlineStr">
        <is>
          <t>Technical / 技术</t>
        </is>
      </c>
      <c r="D10" s="11" t="inlineStr">
        <is>
          <t>采集链路中断、延迟或网络隔离不足</t>
        </is>
      </c>
      <c r="E10" s="11" t="inlineStr">
        <is>
          <t>Collection interruption, latency, or inadequate network segregation</t>
        </is>
      </c>
      <c r="F10" s="11" t="inlineStr">
        <is>
          <t>C</t>
        </is>
      </c>
      <c r="G10" s="11" t="n">
        <v>4</v>
      </c>
      <c r="H10" s="11" t="n">
        <v>3</v>
      </c>
      <c r="I10" s="11" t="n">
        <v>12</v>
      </c>
      <c r="J10" s="11" t="inlineStr">
        <is>
          <t>Critical / 极高</t>
        </is>
      </c>
      <c r="K10" s="11" t="inlineStr">
        <is>
          <t>Do/Check</t>
        </is>
      </c>
      <c r="L10" s="11" t="inlineStr">
        <is>
          <t>建立断点续传、链路健康监控和网络分区；保留人工回退与本地缓存。</t>
        </is>
      </c>
      <c r="M10" s="11" t="inlineStr">
        <is>
          <t>Use store-and-forward, link-health monitoring, and network segmentation with manual fallback and local buffering.</t>
        </is>
      </c>
      <c r="N10" s="11" t="inlineStr">
        <is>
          <t>manual_records</t>
        </is>
      </c>
      <c r="O10" s="11" t="b">
        <v>0</v>
      </c>
    </row>
    <row r="11">
      <c r="A11" s="12" t="n">
        <v>10</v>
      </c>
      <c r="B11" s="12" t="inlineStr">
        <is>
          <t>E02</t>
        </is>
      </c>
      <c r="C11" s="12" t="inlineStr">
        <is>
          <t>External / 外部</t>
        </is>
      </c>
      <c r="D11" s="12" t="inlineStr">
        <is>
          <t>本地备件、校准或运维支持响应不足</t>
        </is>
      </c>
      <c r="E11" s="12" t="inlineStr">
        <is>
          <t>Insufficient local spare-parts, calibration, or maintenance response</t>
        </is>
      </c>
      <c r="F11" s="12" t="inlineStr">
        <is>
          <t>P,C</t>
        </is>
      </c>
      <c r="G11" s="12" t="n">
        <v>3</v>
      </c>
      <c r="H11" s="12" t="n">
        <v>2</v>
      </c>
      <c r="I11" s="12" t="n">
        <v>6</v>
      </c>
      <c r="J11" s="12" t="inlineStr">
        <is>
          <t>Moderate / 中</t>
        </is>
      </c>
      <c r="K11" s="12" t="inlineStr">
        <is>
          <t>Plan/Do</t>
        </is>
      </c>
      <c r="L11" s="12" t="inlineStr">
        <is>
          <t>确定关键备件、校准周期、服务等级和本地替代方案，并纳入总拥有成本。</t>
        </is>
      </c>
      <c r="M11" s="12" t="inlineStr">
        <is>
          <t>Define critical spares, calibration cycles, service levels, and local alternatives in total cost of ownership.</t>
        </is>
      </c>
      <c r="N11" s="12" t="inlineStr"/>
      <c r="O11" s="12" t="b">
        <v>0</v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37" customWidth="1" min="4" max="4"/>
    <col width="11" customWidth="1" min="5" max="5"/>
  </cols>
  <sheetData>
    <row r="1">
      <c r="A1" s="1" t="inlineStr">
        <is>
          <t>Likelihood \ Impact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2" t="n">
        <v>4</v>
      </c>
      <c r="B2" s="13" t="inlineStr">
        <is>
          <t>-</t>
        </is>
      </c>
      <c r="C2" s="14" t="inlineStr">
        <is>
          <t>-</t>
        </is>
      </c>
      <c r="D2" s="15" t="inlineStr">
        <is>
          <t>O03
T03
E01
H01
O01
O02
H03
T01
T02</t>
        </is>
      </c>
      <c r="E2" s="15" t="inlineStr">
        <is>
          <t>-</t>
        </is>
      </c>
    </row>
    <row r="3">
      <c r="A3" s="2" t="n">
        <v>3</v>
      </c>
      <c r="B3" s="16" t="inlineStr">
        <is>
          <t>-</t>
        </is>
      </c>
      <c r="C3" s="13" t="inlineStr">
        <is>
          <t>E02</t>
        </is>
      </c>
      <c r="D3" s="14" t="inlineStr">
        <is>
          <t>-</t>
        </is>
      </c>
      <c r="E3" s="15" t="inlineStr">
        <is>
          <t>-</t>
        </is>
      </c>
    </row>
    <row r="4">
      <c r="A4" s="2" t="n">
        <v>2</v>
      </c>
      <c r="B4" s="16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4" t="inlineStr">
        <is>
          <t>-</t>
        </is>
      </c>
    </row>
    <row r="5">
      <c r="A5" s="2" t="n">
        <v>1</v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3" t="inlineStr">
        <is>
          <t>-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0" customWidth="1" min="5" max="5"/>
    <col width="42" customWidth="1" min="6" max="6"/>
    <col width="20" customWidth="1" min="7" max="7"/>
    <col width="41" customWidth="1" min="8" max="8"/>
    <col width="12" customWidth="1" min="9" max="9"/>
    <col width="13" customWidth="1" min="10" max="10"/>
    <col width="13" customWidth="1" min="11" max="11"/>
    <col width="11" customWidth="1" min="12" max="12"/>
    <col width="18" customWidth="1" min="13" max="13"/>
    <col width="38" customWidth="1" min="14" max="14"/>
    <col width="42" customWidth="1" min="15" max="15"/>
    <col width="39" customWidth="1" min="16" max="16"/>
    <col width="42" customWidth="1" min="17" max="17"/>
    <col width="42" customWidth="1" min="18" max="18"/>
  </cols>
  <sheetData>
    <row r="1">
      <c r="A1" s="1" t="inlineStr">
        <is>
          <t>Rank</t>
        </is>
      </c>
      <c r="B1" s="1" t="inlineStr">
        <is>
          <t>Priority</t>
        </is>
      </c>
      <c r="C1" s="1" t="inlineStr">
        <is>
          <t>KPI ID</t>
        </is>
      </c>
      <c r="D1" s="1" t="inlineStr">
        <is>
          <t>PCIO</t>
        </is>
      </c>
      <c r="E1" s="1" t="inlineStr">
        <is>
          <t>KPI ZH</t>
        </is>
      </c>
      <c r="F1" s="1" t="inlineStr">
        <is>
          <t>KPI EN</t>
        </is>
      </c>
      <c r="G1" s="1" t="inlineStr">
        <is>
          <t>Current maturity</t>
        </is>
      </c>
      <c r="H1" s="1" t="inlineStr">
        <is>
          <t>Operational baseline</t>
        </is>
      </c>
      <c r="I1" s="1" t="inlineStr">
        <is>
          <t>Target low</t>
        </is>
      </c>
      <c r="J1" s="1" t="inlineStr">
        <is>
          <t>Target high</t>
        </is>
      </c>
      <c r="K1" s="1" t="inlineStr">
        <is>
          <t>Unit</t>
        </is>
      </c>
      <c r="L1" s="1" t="inlineStr">
        <is>
          <t>Direction</t>
        </is>
      </c>
      <c r="M1" s="1" t="inlineStr">
        <is>
          <t>Horizon</t>
        </is>
      </c>
      <c r="N1" s="1" t="inlineStr">
        <is>
          <t>Rationale ZH</t>
        </is>
      </c>
      <c r="O1" s="1" t="inlineStr">
        <is>
          <t>Rationale EN</t>
        </is>
      </c>
      <c r="P1" s="1" t="inlineStr">
        <is>
          <t>Expected outcome ZH</t>
        </is>
      </c>
      <c r="Q1" s="1" t="inlineStr">
        <is>
          <t>Expected outcome EN</t>
        </is>
      </c>
      <c r="R1" s="1" t="inlineStr">
        <is>
          <t>Evidence</t>
        </is>
      </c>
    </row>
    <row r="2">
      <c r="A2" s="2" t="n">
        <v>1</v>
      </c>
      <c r="B2" s="2" t="inlineStr">
        <is>
          <t>urgent</t>
        </is>
      </c>
      <c r="C2" s="2" t="inlineStr">
        <is>
          <t>KPI-B-05</t>
        </is>
      </c>
      <c r="D2" s="2" t="inlineStr">
        <is>
          <t>I</t>
        </is>
      </c>
      <c r="E2" s="2" t="inlineStr">
        <is>
          <t>人工重复记录时间</t>
        </is>
      </c>
      <c r="F2" s="2" t="inlineStr">
        <is>
          <t>Duplicate manual recording time</t>
        </is>
      </c>
      <c r="G2" s="2" t="n">
        <v>2.576800847457627</v>
      </c>
      <c r="H2" s="2" t="inlineStr">
        <is>
          <t>现场数据待确认 / Operational baseline required</t>
        </is>
      </c>
      <c r="I2" s="2" t="n">
        <v>15</v>
      </c>
      <c r="J2" s="2" t="n">
        <v>30</v>
      </c>
      <c r="K2" s="2" t="inlineStr">
        <is>
          <t>% reduction</t>
        </is>
      </c>
      <c r="L2" s="2" t="inlineStr">
        <is>
          <t>lower</t>
        </is>
      </c>
      <c r="M2" s="2" t="inlineStr">
        <is>
          <t>12 weeks / 12周试点</t>
        </is>
      </c>
      <c r="N2" s="2" t="inlineStr">
        <is>
          <t>数字化上线时同步取消等量重复纸质步骤。</t>
        </is>
      </c>
      <c r="O2" s="2" t="inlineStr">
        <is>
          <t>Retire equivalent duplicate paper steps when digital capture goes live.</t>
        </is>
      </c>
      <c r="P2" s="2" t="inlineStr"/>
      <c r="Q2" s="2" t="inlineStr"/>
      <c r="R2" s="2" t="inlineStr">
        <is>
          <t>Toolkit planning scenario (P)</t>
        </is>
      </c>
    </row>
    <row r="3">
      <c r="A3" s="2" t="n">
        <v>2</v>
      </c>
      <c r="B3" s="2" t="inlineStr">
        <is>
          <t>urgent</t>
        </is>
      </c>
      <c r="C3" s="2" t="inlineStr">
        <is>
          <t>KPI-B-04</t>
        </is>
      </c>
      <c r="D3" s="2" t="inlineStr">
        <is>
          <t>O</t>
        </is>
      </c>
      <c r="E3" s="2" t="inlineStr">
        <is>
          <t>返工/缺陷率</t>
        </is>
      </c>
      <c r="F3" s="2" t="inlineStr">
        <is>
          <t>Rework or defect rate</t>
        </is>
      </c>
      <c r="G3" s="2" t="n">
        <v>2.672512755102041</v>
      </c>
      <c r="H3" s="2" t="inlineStr">
        <is>
          <t>现场数据待确认 / Operational baseline required</t>
        </is>
      </c>
      <c r="I3" s="2" t="n">
        <v>5</v>
      </c>
      <c r="J3" s="2" t="n">
        <v>10</v>
      </c>
      <c r="K3" s="2" t="inlineStr">
        <is>
          <t>% reduction</t>
        </is>
      </c>
      <c r="L3" s="2" t="inlineStr">
        <is>
          <t>lower</t>
        </is>
      </c>
      <c r="M3" s="2" t="inlineStr">
        <is>
          <t>12 weeks / 12周试点</t>
        </is>
      </c>
      <c r="N3" s="2" t="inlineStr">
        <is>
          <t>保持产品组合和检验口径一致。</t>
        </is>
      </c>
      <c r="O3" s="2" t="inlineStr">
        <is>
          <t>Hold product mix and inspection definitions constant.</t>
        </is>
      </c>
      <c r="P3" s="2" t="inlineStr"/>
      <c r="Q3" s="2" t="inlineStr"/>
      <c r="R3" s="2" t="inlineStr">
        <is>
          <t>Toolkit planning scenario (P)</t>
        </is>
      </c>
    </row>
    <row r="4">
      <c r="A4" s="2" t="n">
        <v>3</v>
      </c>
      <c r="B4" s="2" t="inlineStr">
        <is>
          <t>urgent</t>
        </is>
      </c>
      <c r="C4" s="2" t="inlineStr">
        <is>
          <t>KPI-B-06</t>
        </is>
      </c>
      <c r="D4" s="2" t="inlineStr">
        <is>
          <t>P</t>
        </is>
      </c>
      <c r="E4" s="2" t="inlineStr">
        <is>
          <t>瓶颈设备状态感知覆盖率</t>
        </is>
      </c>
      <c r="F4" s="2" t="inlineStr">
        <is>
          <t>State-sensing coverage for bottleneck assets</t>
        </is>
      </c>
      <c r="G4" s="2" t="n">
        <v>2.776721014492754</v>
      </c>
      <c r="H4" s="2" t="inlineStr">
        <is>
          <t>现场数据待确认 / Operational baseline required</t>
        </is>
      </c>
      <c r="I4" s="2" t="n">
        <v>90</v>
      </c>
      <c r="J4" s="2" t="n">
        <v>95</v>
      </c>
      <c r="K4" s="2" t="inlineStr">
        <is>
          <t>%</t>
        </is>
      </c>
      <c r="L4" s="2" t="inlineStr">
        <is>
          <t>higher</t>
        </is>
      </c>
      <c r="M4" s="2" t="inlineStr">
        <is>
          <t>12 weeks / 12周试点</t>
        </is>
      </c>
      <c r="N4" s="2" t="inlineStr">
        <is>
          <t>柔性较低时先补齐设备状态、节拍、等待和停机原因，而不是直接上排产 AI。</t>
        </is>
      </c>
      <c r="O4" s="2" t="inlineStr">
        <is>
          <t>When flexibility is low, capture state, cycle, waiting, and downtime reasons before scheduling AI.</t>
        </is>
      </c>
      <c r="P4" s="2" t="inlineStr">
        <is>
          <t>柔性绩效问卷分数试点提升 0.2-0.5/5，须与换产/等待时间交叉验证。</t>
        </is>
      </c>
      <c r="Q4" s="2" t="inlineStr">
        <is>
          <t>Pilot flexibility-score improvement of 0.2-0.5/5, triangulated with changeover or waiting time.</t>
        </is>
      </c>
      <c r="R4" s="2" t="inlineStr">
        <is>
          <t>External n=52 sensor-priority reference + toolkit scenario (P)</t>
        </is>
      </c>
    </row>
    <row r="5">
      <c r="A5" s="2" t="n">
        <v>4</v>
      </c>
      <c r="B5" s="2" t="inlineStr">
        <is>
          <t>high</t>
        </is>
      </c>
      <c r="C5" s="2" t="inlineStr">
        <is>
          <t>KPI-I-01</t>
        </is>
      </c>
      <c r="D5" s="2" t="inlineStr">
        <is>
          <t>I</t>
        </is>
      </c>
      <c r="E5" s="2" t="inlineStr">
        <is>
          <t>关键测点与设备/批次/工单映射完整率</t>
        </is>
      </c>
      <c r="F5" s="2" t="inlineStr">
        <is>
          <t>Completeness of tag-to-asset/batch/work-order mapping</t>
        </is>
      </c>
      <c r="G5" s="2" t="n">
        <v>2.576800847457627</v>
      </c>
      <c r="H5" s="2" t="inlineStr">
        <is>
          <t>现场数据待确认 / Operational baseline required</t>
        </is>
      </c>
      <c r="I5" s="2" t="n">
        <v>90</v>
      </c>
      <c r="J5" s="2" t="n">
        <v>95</v>
      </c>
      <c r="K5" s="2" t="inlineStr">
        <is>
          <t>%</t>
        </is>
      </c>
      <c r="L5" s="2" t="inlineStr">
        <is>
          <t>higher</t>
        </is>
      </c>
      <c r="M5" s="2" t="inlineStr">
        <is>
          <t>12 weeks / 12周试点</t>
        </is>
      </c>
      <c r="N5" s="2" t="inlineStr">
        <is>
          <t>当前集成能力决定统计结果能否回到具体业务情境。</t>
        </is>
      </c>
      <c r="O5" s="2" t="inlineStr">
        <is>
          <t>Integration determines whether analysis can be traced back to business context.</t>
        </is>
      </c>
      <c r="P5" s="2" t="inlineStr"/>
      <c r="Q5" s="2" t="inlineStr"/>
      <c r="R5" s="2" t="inlineStr">
        <is>
          <t>Toolkit operating target (P)</t>
        </is>
      </c>
    </row>
    <row r="6">
      <c r="A6" s="2" t="n">
        <v>5</v>
      </c>
      <c r="B6" s="2" t="inlineStr">
        <is>
          <t>high</t>
        </is>
      </c>
      <c r="C6" s="2" t="inlineStr">
        <is>
          <t>KPI-O-01</t>
        </is>
      </c>
      <c r="D6" s="2" t="inlineStr">
        <is>
          <t>O</t>
        </is>
      </c>
      <c r="E6" s="2" t="inlineStr">
        <is>
          <t>异常闭环按期完成率</t>
        </is>
      </c>
      <c r="F6" s="2" t="inlineStr">
        <is>
          <t>On-time exception closure rate</t>
        </is>
      </c>
      <c r="G6" s="2" t="n">
        <v>2.672512755102041</v>
      </c>
      <c r="H6" s="2" t="inlineStr">
        <is>
          <t>现场数据待确认 / Operational baseline required</t>
        </is>
      </c>
      <c r="I6" s="2" t="n">
        <v>80</v>
      </c>
      <c r="J6" s="2" t="n">
        <v>90</v>
      </c>
      <c r="K6" s="2" t="inlineStr">
        <is>
          <t>%</t>
        </is>
      </c>
      <c r="L6" s="2" t="inlineStr">
        <is>
          <t>higher</t>
        </is>
      </c>
      <c r="M6" s="2" t="inlineStr">
        <is>
          <t>12 weeks / 12周试点</t>
        </is>
      </c>
      <c r="N6" s="2" t="inlineStr">
        <is>
          <t>优化层先验证规则和行动闭环，再进入高级模型。</t>
        </is>
      </c>
      <c r="O6" s="2" t="inlineStr">
        <is>
          <t>Optimisation should validate rules and action closure before advanced models.</t>
        </is>
      </c>
      <c r="P6" s="2" t="inlineStr"/>
      <c r="Q6" s="2" t="inlineStr"/>
      <c r="R6" s="2" t="inlineStr">
        <is>
          <t>Toolkit operating target (P)</t>
        </is>
      </c>
    </row>
    <row r="7">
      <c r="A7" s="2" t="n">
        <v>6</v>
      </c>
      <c r="B7" s="2" t="inlineStr">
        <is>
          <t>high</t>
        </is>
      </c>
      <c r="C7" s="2" t="inlineStr">
        <is>
          <t>KPI-P-01</t>
        </is>
      </c>
      <c r="D7" s="2" t="inlineStr">
        <is>
          <t>P</t>
        </is>
      </c>
      <c r="E7" s="2" t="inlineStr">
        <is>
          <t>关键测点有效覆盖率</t>
        </is>
      </c>
      <c r="F7" s="2" t="inlineStr">
        <is>
          <t>Valid coverage of critical tags</t>
        </is>
      </c>
      <c r="G7" s="2" t="n">
        <v>2.776721014492754</v>
      </c>
      <c r="H7" s="2" t="inlineStr">
        <is>
          <t>现场数据待确认 / Operational baseline required</t>
        </is>
      </c>
      <c r="I7" s="2" t="n">
        <v>90</v>
      </c>
      <c r="J7" s="2" t="n">
        <v>95</v>
      </c>
      <c r="K7" s="2" t="inlineStr">
        <is>
          <t>%</t>
        </is>
      </c>
      <c r="L7" s="2" t="inlineStr">
        <is>
          <t>higher</t>
        </is>
      </c>
      <c r="M7" s="2" t="inlineStr">
        <is>
          <t>12 weeks / 12周试点</t>
        </is>
      </c>
      <c r="N7" s="2" t="inlineStr">
        <is>
          <t>感知层是后续连接、集成和优化的输入门槛。</t>
        </is>
      </c>
      <c r="O7" s="2" t="inlineStr">
        <is>
          <t>Perception is the input gate for connectivity, integration, and optimisation.</t>
        </is>
      </c>
      <c r="P7" s="2" t="inlineStr"/>
      <c r="Q7" s="2" t="inlineStr"/>
      <c r="R7" s="2" t="inlineStr">
        <is>
          <t>External n=52 Sensor_Inf=4.5077 reference + project score</t>
        </is>
      </c>
    </row>
    <row r="8">
      <c r="A8" s="2" t="n">
        <v>7</v>
      </c>
      <c r="B8" s="2" t="inlineStr">
        <is>
          <t>medium</t>
        </is>
      </c>
      <c r="C8" s="2" t="inlineStr">
        <is>
          <t>KPI-H-01</t>
        </is>
      </c>
      <c r="D8" s="2" t="inlineStr">
        <is>
          <t>H</t>
        </is>
      </c>
      <c r="E8" s="2" t="inlineStr">
        <is>
          <t>目标岗位任务验证通过率</t>
        </is>
      </c>
      <c r="F8" s="2" t="inlineStr">
        <is>
          <t>Task-based competence pass rate for target roles</t>
        </is>
      </c>
      <c r="G8" s="2" t="n">
        <v>2.861530172413793</v>
      </c>
      <c r="H8" s="2" t="inlineStr">
        <is>
          <t>现场数据待确认 / Operational baseline required</t>
        </is>
      </c>
      <c r="I8" s="2" t="n">
        <v>90</v>
      </c>
      <c r="J8" s="2" t="n">
        <v>95</v>
      </c>
      <c r="K8" s="2" t="inlineStr">
        <is>
          <t>%</t>
        </is>
      </c>
      <c r="L8" s="2" t="inlineStr">
        <is>
          <t>higher</t>
        </is>
      </c>
      <c r="M8" s="2" t="inlineStr">
        <is>
          <t>12 weeks / 12周试点</t>
        </is>
      </c>
      <c r="N8" s="2" t="inlineStr">
        <is>
          <t>培训完成不等于会用，以真实任务验证人机协同能力。</t>
        </is>
      </c>
      <c r="O8" s="2" t="inlineStr">
        <is>
          <t>Training completion is not competence; verify with real tasks.</t>
        </is>
      </c>
      <c r="P8" s="2" t="inlineStr"/>
      <c r="Q8" s="2" t="inlineStr"/>
      <c r="R8" s="2" t="inlineStr">
        <is>
          <t>Toolkit operating target (P)</t>
        </is>
      </c>
    </row>
    <row r="9">
      <c r="A9" s="2" t="n">
        <v>8</v>
      </c>
      <c r="B9" s="2" t="inlineStr">
        <is>
          <t>medium</t>
        </is>
      </c>
      <c r="C9" s="2" t="inlineStr">
        <is>
          <t>KPI-C-01</t>
        </is>
      </c>
      <c r="D9" s="2" t="inlineStr">
        <is>
          <t>C</t>
        </is>
      </c>
      <c r="E9" s="2" t="inlineStr">
        <is>
          <t>试点数据采集可用率</t>
        </is>
      </c>
      <c r="F9" s="2" t="inlineStr">
        <is>
          <t>Pilot data-acquisition availability</t>
        </is>
      </c>
      <c r="G9" s="2" t="n">
        <v>2.785714285714286</v>
      </c>
      <c r="H9" s="2" t="inlineStr">
        <is>
          <t>现场数据待确认 / Operational baseline required</t>
        </is>
      </c>
      <c r="I9" s="2" t="n">
        <v>97</v>
      </c>
      <c r="J9" s="2" t="n">
        <v>99</v>
      </c>
      <c r="K9" s="2" t="inlineStr">
        <is>
          <t>%</t>
        </is>
      </c>
      <c r="L9" s="2" t="inlineStr">
        <is>
          <t>higher</t>
        </is>
      </c>
      <c r="M9" s="2" t="inlineStr">
        <is>
          <t>12 weeks / 12周试点</t>
        </is>
      </c>
      <c r="N9" s="2" t="inlineStr">
        <is>
          <t>用链路可用率代替“已联网”这一不可审计描述。</t>
        </is>
      </c>
      <c r="O9" s="2" t="inlineStr">
        <is>
          <t>Use measurable link availability rather than a binary 'connected' claim.</t>
        </is>
      </c>
      <c r="P9" s="2" t="inlineStr"/>
      <c r="Q9" s="2" t="inlineStr"/>
      <c r="R9" s="2" t="inlineStr">
        <is>
          <t>Toolkit operating target (P)</t>
        </is>
      </c>
    </row>
  </sheetData>
  <autoFilter ref="A1:R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20" customWidth="1" min="3" max="3"/>
    <col width="18" customWidth="1" min="4" max="4"/>
    <col width="30" customWidth="1" min="5" max="5"/>
    <col width="40" customWidth="1" min="6" max="6"/>
  </cols>
  <sheetData>
    <row r="1">
      <c r="A1" s="1" t="inlineStr">
        <is>
          <t>Editable ROI Calculator / 可编辑 ROI 快速估算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Investment / 投资</t>
        </is>
      </c>
      <c r="B3" s="17" t="n">
        <v>180000</v>
      </c>
      <c r="C3" s="2" t="n"/>
      <c r="D3" s="2" t="n"/>
      <c r="E3" s="2" t="n"/>
      <c r="F3" s="2" t="n"/>
    </row>
    <row r="4">
      <c r="A4" s="2" t="inlineStr">
        <is>
          <t>Annual addressable value / 年度可改善价值池</t>
        </is>
      </c>
      <c r="B4" s="17" t="n">
        <v>1500000</v>
      </c>
      <c r="C4" s="2" t="n"/>
      <c r="D4" s="2" t="n"/>
      <c r="E4" s="2" t="n"/>
      <c r="F4" s="2" t="n"/>
    </row>
    <row r="5">
      <c r="A5" s="2" t="inlineStr">
        <is>
          <t>Annual operating cost / 年度运维成本</t>
        </is>
      </c>
      <c r="B5" s="17" t="n">
        <v>30000</v>
      </c>
      <c r="C5" s="2" t="n"/>
      <c r="D5" s="2" t="n"/>
      <c r="E5" s="2" t="n"/>
      <c r="F5" s="2" t="n"/>
    </row>
    <row r="6">
      <c r="A6" s="2" t="inlineStr">
        <is>
          <t>Improvement low % / 改善下限</t>
        </is>
      </c>
      <c r="B6" s="18" t="n">
        <v>0.05</v>
      </c>
      <c r="C6" s="2" t="n"/>
      <c r="D6" s="2" t="n"/>
      <c r="E6" s="2" t="n"/>
      <c r="F6" s="2" t="n"/>
    </row>
    <row r="7">
      <c r="A7" s="2" t="inlineStr">
        <is>
          <t>Improvement high % / 改善上限</t>
        </is>
      </c>
      <c r="B7" s="18" t="n">
        <v>0.1</v>
      </c>
      <c r="C7" s="2" t="n"/>
      <c r="D7" s="2" t="n"/>
      <c r="E7" s="2" t="n"/>
      <c r="F7" s="2" t="n"/>
    </row>
    <row r="8">
      <c r="A8" s="2" t="inlineStr">
        <is>
          <t>Horizon years / 评估年数</t>
        </is>
      </c>
      <c r="B8" s="17" t="n">
        <v>3</v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Scenario</t>
        </is>
      </c>
      <c r="B10" s="2" t="inlineStr">
        <is>
          <t>Improvement</t>
        </is>
      </c>
      <c r="C10" s="2" t="inlineStr">
        <is>
          <t>Gross benefit/year</t>
        </is>
      </c>
      <c r="D10" s="2" t="inlineStr">
        <is>
          <t>Net benefit/year</t>
        </is>
      </c>
      <c r="E10" s="2" t="inlineStr">
        <is>
          <t>Payback months</t>
        </is>
      </c>
      <c r="F10" s="2" t="inlineStr">
        <is>
          <t>ROI over horizon</t>
        </is>
      </c>
    </row>
    <row r="11">
      <c r="A11" s="2" t="inlineStr">
        <is>
          <t>Conservative</t>
        </is>
      </c>
      <c r="B11" s="19">
        <f>$B$6</f>
        <v/>
      </c>
      <c r="C11" s="2">
        <f>$B$4*B11</f>
        <v/>
      </c>
      <c r="D11" s="2">
        <f>C11-$B$5</f>
        <v/>
      </c>
      <c r="E11" s="2">
        <f>IF(D11&gt;0,$B$3/D11*12,"N/A")</f>
        <v/>
      </c>
      <c r="F11" s="19">
        <f>IF($B$3&gt;0,(D11*$B$8-$B$3)/$B$3,"N/A")</f>
        <v/>
      </c>
    </row>
    <row r="12">
      <c r="A12" s="2" t="inlineStr">
        <is>
          <t>Base</t>
        </is>
      </c>
      <c r="B12" s="19">
        <f>AVERAGE($B$6,$B$7)</f>
        <v/>
      </c>
      <c r="C12" s="2">
        <f>$B$4*B12</f>
        <v/>
      </c>
      <c r="D12" s="2">
        <f>C12-$B$5</f>
        <v/>
      </c>
      <c r="E12" s="2">
        <f>IF(D12&gt;0,$B$3/D12*12,"N/A")</f>
        <v/>
      </c>
      <c r="F12" s="19">
        <f>IF($B$3&gt;0,(D12*$B$8-$B$3)/$B$3,"N/A")</f>
        <v/>
      </c>
    </row>
    <row r="13">
      <c r="A13" s="2" t="inlineStr">
        <is>
          <t>Optimistic</t>
        </is>
      </c>
      <c r="B13" s="19">
        <f>$B$7</f>
        <v/>
      </c>
      <c r="C13" s="2">
        <f>$B$4*B13</f>
        <v/>
      </c>
      <c r="D13" s="2">
        <f>C13-$B$5</f>
        <v/>
      </c>
      <c r="E13" s="2">
        <f>IF(D13&gt;0,$B$3/D13*12,"N/A")</f>
        <v/>
      </c>
      <c r="F13" s="19">
        <f>IF($B$3&gt;0,(D13*$B$8-$B$3)/$B$3,"N/A")</f>
        <v/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inlineStr">
        <is>
          <t>Break-even improvement / 盈亏平衡改善率</t>
        </is>
      </c>
      <c r="B15" s="19">
        <f>IF(B4&gt;0,(B5+B3/B8)/B4,0)</f>
        <v/>
      </c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inlineStr">
        <is>
          <t>Boundary / 边界</t>
        </is>
      </c>
      <c r="B17" s="2" t="inlineStr">
        <is>
          <t>回收期为简单静态估算，未计税、折旧、资金成本、停产损失或爬坡曲线。 / Payback is a simple static estimate excluding tax, depreciation, cost of capital, downtime, and ramp-up.</t>
        </is>
      </c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autoFilter ref="A1:F18"/>
  <mergeCells count="2">
    <mergeCell ref="B17:F1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2026-06-11T09:45:13Z</dcterms:created>
  <dcterms:modified xsi:type="dcterms:W3CDTF">2026-06-11T09:45:13Z</dcterms:modified>
</cp:coreProperties>
</file>